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59824407f9d868/Desktop/"/>
    </mc:Choice>
  </mc:AlternateContent>
  <xr:revisionPtr revIDLastSave="0" documentId="8_{F7B4B58F-3F89-4EC0-A3CB-D9E7F63BDC6F}" xr6:coauthVersionLast="47" xr6:coauthVersionMax="47" xr10:uidLastSave="{00000000-0000-0000-0000-000000000000}"/>
  <bookViews>
    <workbookView xWindow="-110" yWindow="-110" windowWidth="19420" windowHeight="10300" firstSheet="1" activeTab="4" xr2:uid="{57547DEF-9574-4ECD-9EB6-EE51A7CA65B5}"/>
  </bookViews>
  <sheets>
    <sheet name="Primer año" sheetId="1" r:id="rId1"/>
    <sheet name="Reporte Mensual Primer año" sheetId="2" r:id="rId2"/>
    <sheet name="Segundo año" sheetId="3" r:id="rId3"/>
    <sheet name="Reporte Mensual Segundo año" sheetId="4" r:id="rId4"/>
    <sheet name="Tota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E3" i="5"/>
  <c r="B3" i="5"/>
  <c r="B4" i="2"/>
  <c r="B6" i="2" s="1"/>
  <c r="C5" i="4"/>
  <c r="B5" i="4"/>
  <c r="C4" i="4"/>
  <c r="H4" i="4" s="1"/>
  <c r="C6" i="4"/>
  <c r="B4" i="4"/>
  <c r="G3" i="3"/>
  <c r="C3" i="3"/>
  <c r="C6" i="2"/>
  <c r="D6" i="2"/>
  <c r="E6" i="2"/>
  <c r="F6" i="2"/>
  <c r="G6" i="2"/>
  <c r="H5" i="2"/>
  <c r="D4" i="2"/>
  <c r="E4" i="2"/>
  <c r="F4" i="2"/>
  <c r="G4" i="2"/>
  <c r="D5" i="2"/>
  <c r="E5" i="2"/>
  <c r="F5" i="2"/>
  <c r="G5" i="2"/>
  <c r="C5" i="2"/>
  <c r="B5" i="2"/>
  <c r="C4" i="2"/>
  <c r="C3" i="1"/>
  <c r="G3" i="1"/>
  <c r="H4" i="2" l="1"/>
  <c r="H6" i="2" s="1"/>
  <c r="H5" i="4"/>
  <c r="H6" i="4" s="1"/>
  <c r="B6" i="4"/>
</calcChain>
</file>

<file path=xl/sharedStrings.xml><?xml version="1.0" encoding="utf-8"?>
<sst xmlns="http://schemas.openxmlformats.org/spreadsheetml/2006/main" count="70" uniqueCount="35">
  <si>
    <t>Control de Ingresos Egresos - Primer año</t>
  </si>
  <si>
    <t>Ingresos</t>
  </si>
  <si>
    <t>Ingresos:</t>
  </si>
  <si>
    <t>Egresos</t>
  </si>
  <si>
    <t>Egresos:</t>
  </si>
  <si>
    <t>Mes</t>
  </si>
  <si>
    <t>Descripción</t>
  </si>
  <si>
    <t>Monto</t>
  </si>
  <si>
    <t>Sueldo</t>
  </si>
  <si>
    <t>Pago Intereses</t>
  </si>
  <si>
    <t>Intereses Renta</t>
  </si>
  <si>
    <t>Enero</t>
  </si>
  <si>
    <t>Febrero</t>
  </si>
  <si>
    <t>Pago Hipoteca</t>
  </si>
  <si>
    <t>Escuelas</t>
  </si>
  <si>
    <t>Diversion</t>
  </si>
  <si>
    <t>Ropa</t>
  </si>
  <si>
    <t>Reporte Mensual Primer año</t>
  </si>
  <si>
    <t>Totales</t>
  </si>
  <si>
    <t>Saldo Total</t>
  </si>
  <si>
    <t>Marzo</t>
  </si>
  <si>
    <t>Abril</t>
  </si>
  <si>
    <t>Mayo</t>
  </si>
  <si>
    <t>Etc.</t>
  </si>
  <si>
    <t>Plazo Fijo</t>
  </si>
  <si>
    <t>Venta Celular</t>
  </si>
  <si>
    <t>Despensa</t>
  </si>
  <si>
    <t>Seguros</t>
  </si>
  <si>
    <t>Gimnasio</t>
  </si>
  <si>
    <t>Reporte Mensual Segundo año</t>
  </si>
  <si>
    <t>Control de Ingresos Egresos - Segundo año</t>
  </si>
  <si>
    <t>Control de Ingresos Egresos Totales</t>
  </si>
  <si>
    <t>Ingresos 
 Totales:</t>
  </si>
  <si>
    <t>Egresos 
 Totales:</t>
  </si>
  <si>
    <t>Saldo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</si>
</sst>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6" formatCode="[$-409]mmmmm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Dubai"/>
      <family val="2"/>
    </font>
    <font>
      <b/>
      <sz val="18"/>
      <color theme="0"/>
      <name val="Dubai"/>
      <family val="2"/>
    </font>
    <font>
      <sz val="12"/>
      <color theme="1"/>
      <name val="Dubai"/>
      <family val="2"/>
    </font>
    <font>
      <sz val="12"/>
      <color theme="0"/>
      <name val="Dubai"/>
      <family val="2"/>
    </font>
    <font>
      <b/>
      <sz val="12"/>
      <color theme="0"/>
      <name val="Dubai"/>
      <family val="2"/>
    </font>
    <font>
      <b/>
      <i/>
      <sz val="12"/>
      <color theme="1"/>
      <name val="Dubai"/>
      <family val="2"/>
    </font>
    <font>
      <b/>
      <i/>
      <sz val="12"/>
      <color theme="0"/>
      <name val="Dubai"/>
      <family val="2"/>
    </font>
  </fonts>
  <fills count="9">
    <fill>
      <patternFill patternType="none"/>
    </fill>
    <fill>
      <patternFill patternType="gray125"/>
    </fill>
    <fill>
      <patternFill patternType="solid">
        <fgColor rgb="FFE3474B"/>
        <bgColor indexed="64"/>
      </patternFill>
    </fill>
    <fill>
      <patternFill patternType="solid">
        <fgColor rgb="FF303956"/>
        <bgColor indexed="64"/>
      </patternFill>
    </fill>
    <fill>
      <patternFill patternType="solid">
        <fgColor rgb="FFD9E7E8"/>
        <bgColor indexed="64"/>
      </patternFill>
    </fill>
    <fill>
      <patternFill patternType="solid">
        <fgColor rgb="FF406D96"/>
        <bgColor indexed="64"/>
      </patternFill>
    </fill>
    <fill>
      <patternFill patternType="solid">
        <fgColor rgb="FFC7E1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F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4" fillId="6" borderId="1" xfId="0" applyFont="1" applyFill="1" applyBorder="1"/>
    <xf numFmtId="44" fontId="4" fillId="6" borderId="1" xfId="1" applyFont="1" applyFill="1" applyBorder="1"/>
    <xf numFmtId="0" fontId="4" fillId="8" borderId="1" xfId="0" applyFont="1" applyFill="1" applyBorder="1"/>
    <xf numFmtId="44" fontId="4" fillId="8" borderId="1" xfId="1" applyFont="1" applyFill="1" applyBorder="1"/>
    <xf numFmtId="44" fontId="4" fillId="4" borderId="1" xfId="0" applyNumberFormat="1" applyFont="1" applyFill="1" applyBorder="1"/>
    <xf numFmtId="0" fontId="6" fillId="5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6" borderId="2" xfId="0" applyFont="1" applyFill="1" applyBorder="1"/>
    <xf numFmtId="44" fontId="4" fillId="6" borderId="2" xfId="1" applyFont="1" applyFill="1" applyBorder="1"/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166" fontId="4" fillId="6" borderId="6" xfId="0" applyNumberFormat="1" applyFont="1" applyFill="1" applyBorder="1" applyAlignment="1">
      <alignment horizontal="center" vertical="center"/>
    </xf>
    <xf numFmtId="166" fontId="4" fillId="6" borderId="7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/>
    <xf numFmtId="0" fontId="8" fillId="3" borderId="1" xfId="0" applyFont="1" applyFill="1" applyBorder="1"/>
    <xf numFmtId="0" fontId="7" fillId="6" borderId="3" xfId="0" applyFont="1" applyFill="1" applyBorder="1"/>
    <xf numFmtId="44" fontId="4" fillId="6" borderId="1" xfId="0" quotePrefix="1" applyNumberFormat="1" applyFont="1" applyFill="1" applyBorder="1"/>
    <xf numFmtId="44" fontId="4" fillId="6" borderId="1" xfId="0" applyNumberFormat="1" applyFont="1" applyFill="1" applyBorder="1"/>
    <xf numFmtId="0" fontId="7" fillId="8" borderId="1" xfId="0" applyFont="1" applyFill="1" applyBorder="1"/>
    <xf numFmtId="44" fontId="4" fillId="8" borderId="1" xfId="0" quotePrefix="1" applyNumberFormat="1" applyFont="1" applyFill="1" applyBorder="1"/>
    <xf numFmtId="44" fontId="4" fillId="8" borderId="1" xfId="0" applyNumberFormat="1" applyFont="1" applyFill="1" applyBorder="1"/>
    <xf numFmtId="44" fontId="4" fillId="7" borderId="1" xfId="0" applyNumberFormat="1" applyFont="1" applyFill="1" applyBorder="1"/>
    <xf numFmtId="0" fontId="5" fillId="3" borderId="0" xfId="0" applyFont="1" applyFill="1" applyBorder="1" applyAlignment="1">
      <alignment horizontal="center" vertical="center" wrapText="1"/>
    </xf>
    <xf numFmtId="44" fontId="4" fillId="4" borderId="0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D9E7E8"/>
      <color rgb="FFE7F3F5"/>
      <color rgb="FFC7E1E7"/>
      <color rgb="FF303956"/>
      <color rgb="FF406D96"/>
      <color rgb="FFE347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5BCA-9216-412E-AA9D-CDA6ABA6F2DF}">
  <dimension ref="A1:G10"/>
  <sheetViews>
    <sheetView zoomScale="79" zoomScaleNormal="130" workbookViewId="0">
      <selection sqref="A1:G1"/>
    </sheetView>
  </sheetViews>
  <sheetFormatPr baseColWidth="10" defaultRowHeight="14.5" x14ac:dyDescent="0.35"/>
  <cols>
    <col min="2" max="2" width="14.81640625" bestFit="1" customWidth="1"/>
    <col min="3" max="3" width="11.81640625" bestFit="1" customWidth="1"/>
    <col min="6" max="6" width="13.90625" bestFit="1" customWidth="1"/>
  </cols>
  <sheetData>
    <row r="1" spans="1:7" ht="33.5" x14ac:dyDescent="1.3">
      <c r="A1" s="2" t="s">
        <v>0</v>
      </c>
      <c r="B1" s="2"/>
      <c r="C1" s="2"/>
      <c r="D1" s="2"/>
      <c r="E1" s="2"/>
      <c r="F1" s="2"/>
      <c r="G1" s="2"/>
    </row>
    <row r="2" spans="1:7" ht="27" customHeight="1" x14ac:dyDescent="0.35"/>
    <row r="3" spans="1:7" ht="22" x14ac:dyDescent="0.85">
      <c r="B3" s="4" t="s">
        <v>2</v>
      </c>
      <c r="C3" s="9">
        <f>SUM($C$6:$C$9)</f>
        <v>2750</v>
      </c>
      <c r="D3" s="1"/>
      <c r="E3" s="1"/>
      <c r="F3" s="4" t="s">
        <v>4</v>
      </c>
      <c r="G3" s="9">
        <f>SUM($G$6:$G$10)</f>
        <v>800</v>
      </c>
    </row>
    <row r="4" spans="1:7" ht="22.5" customHeight="1" x14ac:dyDescent="0.35"/>
    <row r="5" spans="1:7" ht="22" x14ac:dyDescent="0.85">
      <c r="A5" s="14" t="s">
        <v>5</v>
      </c>
      <c r="B5" s="15" t="s">
        <v>6</v>
      </c>
      <c r="C5" s="16" t="s">
        <v>7</v>
      </c>
      <c r="D5" s="11"/>
      <c r="E5" s="14" t="s">
        <v>5</v>
      </c>
      <c r="F5" s="15" t="s">
        <v>6</v>
      </c>
      <c r="G5" s="16" t="s">
        <v>7</v>
      </c>
    </row>
    <row r="6" spans="1:7" ht="22" x14ac:dyDescent="0.85">
      <c r="A6" s="17" t="s">
        <v>11</v>
      </c>
      <c r="B6" s="12" t="s">
        <v>8</v>
      </c>
      <c r="C6" s="13">
        <v>1000</v>
      </c>
      <c r="D6" s="3"/>
      <c r="E6" s="21" t="s">
        <v>11</v>
      </c>
      <c r="F6" s="12" t="s">
        <v>13</v>
      </c>
      <c r="G6" s="13">
        <v>200</v>
      </c>
    </row>
    <row r="7" spans="1:7" ht="22" x14ac:dyDescent="0.85">
      <c r="A7" s="18"/>
      <c r="B7" s="7" t="s">
        <v>9</v>
      </c>
      <c r="C7" s="8">
        <v>250</v>
      </c>
      <c r="D7" s="3"/>
      <c r="E7" s="22"/>
      <c r="F7" s="7" t="s">
        <v>14</v>
      </c>
      <c r="G7" s="8">
        <v>150</v>
      </c>
    </row>
    <row r="8" spans="1:7" ht="22" x14ac:dyDescent="0.85">
      <c r="A8" s="19" t="s">
        <v>12</v>
      </c>
      <c r="B8" s="5" t="s">
        <v>8</v>
      </c>
      <c r="C8" s="6">
        <v>1000</v>
      </c>
      <c r="D8" s="3"/>
      <c r="E8" s="20"/>
      <c r="F8" s="5" t="s">
        <v>15</v>
      </c>
      <c r="G8" s="6">
        <v>100</v>
      </c>
    </row>
    <row r="9" spans="1:7" ht="22" x14ac:dyDescent="0.85">
      <c r="A9" s="19"/>
      <c r="B9" s="7" t="s">
        <v>10</v>
      </c>
      <c r="C9" s="8">
        <v>500</v>
      </c>
      <c r="D9" s="3"/>
      <c r="E9" s="19" t="s">
        <v>12</v>
      </c>
      <c r="F9" s="7" t="s">
        <v>16</v>
      </c>
      <c r="G9" s="8">
        <v>200</v>
      </c>
    </row>
    <row r="10" spans="1:7" ht="22" x14ac:dyDescent="0.85">
      <c r="A10" s="3"/>
      <c r="B10" s="3"/>
      <c r="C10" s="3"/>
      <c r="D10" s="3"/>
      <c r="E10" s="19"/>
      <c r="F10" s="5" t="s">
        <v>14</v>
      </c>
      <c r="G10" s="6">
        <v>150</v>
      </c>
    </row>
  </sheetData>
  <mergeCells count="5">
    <mergeCell ref="A1:G1"/>
    <mergeCell ref="A6:A7"/>
    <mergeCell ref="A8:A9"/>
    <mergeCell ref="E6:E8"/>
    <mergeCell ref="E9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57B8-987C-4B98-8B62-B0859E7E3E93}">
  <dimension ref="A1:H6"/>
  <sheetViews>
    <sheetView workbookViewId="0">
      <selection activeCell="H4" sqref="H4"/>
    </sheetView>
  </sheetViews>
  <sheetFormatPr baseColWidth="10" defaultRowHeight="14.5" x14ac:dyDescent="0.35"/>
  <cols>
    <col min="1" max="1" width="12.54296875" bestFit="1" customWidth="1"/>
    <col min="2" max="3" width="11.81640625" bestFit="1" customWidth="1"/>
    <col min="8" max="8" width="11.81640625" bestFit="1" customWidth="1"/>
  </cols>
  <sheetData>
    <row r="1" spans="1:8" ht="33.5" x14ac:dyDescent="1.3">
      <c r="A1" s="2" t="s">
        <v>17</v>
      </c>
      <c r="B1" s="2"/>
      <c r="C1" s="2"/>
      <c r="D1" s="2"/>
      <c r="E1" s="2"/>
      <c r="F1" s="2"/>
      <c r="G1" s="2"/>
      <c r="H1" s="2"/>
    </row>
    <row r="3" spans="1:8" ht="22" x14ac:dyDescent="0.85">
      <c r="A3" s="3"/>
      <c r="B3" s="10" t="s">
        <v>11</v>
      </c>
      <c r="C3" s="10" t="s">
        <v>12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18</v>
      </c>
    </row>
    <row r="4" spans="1:8" ht="22" x14ac:dyDescent="0.85">
      <c r="A4" s="25" t="s">
        <v>1</v>
      </c>
      <c r="B4" s="26">
        <f>SUM('Primer año'!$C$6:$C$7)</f>
        <v>1250</v>
      </c>
      <c r="C4" s="26">
        <f>SUM('Primer año'!$C$8:$C$9)</f>
        <v>1500</v>
      </c>
      <c r="D4" s="27">
        <f t="shared" ref="D4:D5" si="0">SUM(D2:D3)</f>
        <v>0</v>
      </c>
      <c r="E4" s="27">
        <f t="shared" ref="E4:E5" si="1">SUM(E2:E3)</f>
        <v>0</v>
      </c>
      <c r="F4" s="27">
        <f t="shared" ref="F4:F5" si="2">SUM(F2:F3)</f>
        <v>0</v>
      </c>
      <c r="G4" s="27">
        <f t="shared" ref="G4:G5" si="3">SUM(G2:G3)</f>
        <v>0</v>
      </c>
      <c r="H4" s="31">
        <f>SUM(B4:G4)</f>
        <v>2750</v>
      </c>
    </row>
    <row r="5" spans="1:8" ht="22" x14ac:dyDescent="0.85">
      <c r="A5" s="28" t="s">
        <v>3</v>
      </c>
      <c r="B5" s="29">
        <f>SUM('Primer año'!$G$6:$G$8)</f>
        <v>450</v>
      </c>
      <c r="C5" s="29">
        <f>SUM('Primer año'!$G$9:$G$10)</f>
        <v>350</v>
      </c>
      <c r="D5" s="30">
        <f t="shared" si="0"/>
        <v>0</v>
      </c>
      <c r="E5" s="30">
        <f t="shared" si="1"/>
        <v>0</v>
      </c>
      <c r="F5" s="30">
        <f t="shared" si="2"/>
        <v>0</v>
      </c>
      <c r="G5" s="30">
        <f t="shared" si="3"/>
        <v>0</v>
      </c>
      <c r="H5" s="31">
        <f>SUM(B5:G5)</f>
        <v>800</v>
      </c>
    </row>
    <row r="6" spans="1:8" ht="22" x14ac:dyDescent="0.85">
      <c r="A6" s="24" t="s">
        <v>19</v>
      </c>
      <c r="B6" s="23">
        <f>SUM(B4-B5)</f>
        <v>800</v>
      </c>
      <c r="C6" s="23">
        <f t="shared" ref="C6:H6" si="4">SUM(C4-C5)</f>
        <v>1150</v>
      </c>
      <c r="D6" s="23">
        <f t="shared" si="4"/>
        <v>0</v>
      </c>
      <c r="E6" s="23">
        <f t="shared" si="4"/>
        <v>0</v>
      </c>
      <c r="F6" s="23">
        <f t="shared" si="4"/>
        <v>0</v>
      </c>
      <c r="G6" s="23">
        <f t="shared" si="4"/>
        <v>0</v>
      </c>
      <c r="H6" s="23">
        <f t="shared" si="4"/>
        <v>1950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E2BA-A8A7-4209-A325-200B93B8247E}">
  <dimension ref="A1:G10"/>
  <sheetViews>
    <sheetView workbookViewId="0">
      <selection sqref="A1:G1"/>
    </sheetView>
  </sheetViews>
  <sheetFormatPr baseColWidth="10" defaultRowHeight="14.5" x14ac:dyDescent="0.35"/>
  <cols>
    <col min="2" max="2" width="14.81640625" bestFit="1" customWidth="1"/>
    <col min="3" max="3" width="11.81640625" bestFit="1" customWidth="1"/>
    <col min="6" max="6" width="13.90625" bestFit="1" customWidth="1"/>
    <col min="7" max="7" width="11.81640625" bestFit="1" customWidth="1"/>
  </cols>
  <sheetData>
    <row r="1" spans="1:7" ht="33.5" x14ac:dyDescent="1.3">
      <c r="A1" s="2" t="s">
        <v>30</v>
      </c>
      <c r="B1" s="2"/>
      <c r="C1" s="2"/>
      <c r="D1" s="2"/>
      <c r="E1" s="2"/>
      <c r="F1" s="2"/>
      <c r="G1" s="2"/>
    </row>
    <row r="3" spans="1:7" ht="22" x14ac:dyDescent="0.85">
      <c r="B3" s="4" t="s">
        <v>2</v>
      </c>
      <c r="C3" s="9">
        <f>SUM($C$6:$C$9)</f>
        <v>2800</v>
      </c>
      <c r="D3" s="1"/>
      <c r="E3" s="1"/>
      <c r="F3" s="4" t="s">
        <v>4</v>
      </c>
      <c r="G3" s="9">
        <f>SUM($G$6:$G$10)</f>
        <v>1000</v>
      </c>
    </row>
    <row r="5" spans="1:7" ht="22" x14ac:dyDescent="0.85">
      <c r="A5" s="14" t="s">
        <v>5</v>
      </c>
      <c r="B5" s="15" t="s">
        <v>6</v>
      </c>
      <c r="C5" s="16" t="s">
        <v>7</v>
      </c>
      <c r="D5" s="11"/>
      <c r="E5" s="14" t="s">
        <v>5</v>
      </c>
      <c r="F5" s="15" t="s">
        <v>6</v>
      </c>
      <c r="G5" s="16" t="s">
        <v>7</v>
      </c>
    </row>
    <row r="6" spans="1:7" ht="22" x14ac:dyDescent="0.85">
      <c r="A6" s="17" t="s">
        <v>11</v>
      </c>
      <c r="B6" s="12" t="s">
        <v>8</v>
      </c>
      <c r="C6" s="13">
        <v>1200</v>
      </c>
      <c r="D6" s="3"/>
      <c r="E6" s="21" t="s">
        <v>11</v>
      </c>
      <c r="F6" s="12" t="s">
        <v>26</v>
      </c>
      <c r="G6" s="13">
        <v>300</v>
      </c>
    </row>
    <row r="7" spans="1:7" ht="22" x14ac:dyDescent="0.85">
      <c r="A7" s="18"/>
      <c r="B7" s="7" t="s">
        <v>24</v>
      </c>
      <c r="C7" s="8">
        <v>100</v>
      </c>
      <c r="D7" s="3"/>
      <c r="E7" s="22"/>
      <c r="F7" s="7" t="s">
        <v>27</v>
      </c>
      <c r="G7" s="8">
        <v>200</v>
      </c>
    </row>
    <row r="8" spans="1:7" ht="22" x14ac:dyDescent="0.85">
      <c r="A8" s="19" t="s">
        <v>12</v>
      </c>
      <c r="B8" s="5" t="s">
        <v>8</v>
      </c>
      <c r="C8" s="6">
        <v>1200</v>
      </c>
      <c r="D8" s="3"/>
      <c r="E8" s="20"/>
      <c r="F8" s="5" t="s">
        <v>15</v>
      </c>
      <c r="G8" s="6">
        <v>100</v>
      </c>
    </row>
    <row r="9" spans="1:7" ht="22" x14ac:dyDescent="0.85">
      <c r="A9" s="19"/>
      <c r="B9" s="7" t="s">
        <v>25</v>
      </c>
      <c r="C9" s="8">
        <v>300</v>
      </c>
      <c r="D9" s="3"/>
      <c r="E9" s="19" t="s">
        <v>12</v>
      </c>
      <c r="F9" s="7" t="s">
        <v>28</v>
      </c>
      <c r="G9" s="8">
        <v>100</v>
      </c>
    </row>
    <row r="10" spans="1:7" ht="22" x14ac:dyDescent="0.85">
      <c r="A10" s="3"/>
      <c r="B10" s="3"/>
      <c r="C10" s="3"/>
      <c r="D10" s="3"/>
      <c r="E10" s="19"/>
      <c r="F10" s="5" t="s">
        <v>14</v>
      </c>
      <c r="G10" s="6">
        <v>300</v>
      </c>
    </row>
  </sheetData>
  <mergeCells count="5">
    <mergeCell ref="A1:G1"/>
    <mergeCell ref="A6:A7"/>
    <mergeCell ref="E6:E8"/>
    <mergeCell ref="A8:A9"/>
    <mergeCell ref="E9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1066-101C-426C-A77A-AF2995625197}">
  <dimension ref="A1:H6"/>
  <sheetViews>
    <sheetView workbookViewId="0">
      <selection activeCell="G17" sqref="G17"/>
    </sheetView>
  </sheetViews>
  <sheetFormatPr baseColWidth="10" defaultRowHeight="14.5" x14ac:dyDescent="0.35"/>
  <cols>
    <col min="1" max="1" width="12.54296875" bestFit="1" customWidth="1"/>
    <col min="2" max="3" width="11.81640625" bestFit="1" customWidth="1"/>
    <col min="8" max="8" width="11.81640625" bestFit="1" customWidth="1"/>
  </cols>
  <sheetData>
    <row r="1" spans="1:8" ht="33.5" x14ac:dyDescent="1.3">
      <c r="A1" s="2" t="s">
        <v>29</v>
      </c>
      <c r="B1" s="2"/>
      <c r="C1" s="2"/>
      <c r="D1" s="2"/>
      <c r="E1" s="2"/>
      <c r="F1" s="2"/>
      <c r="G1" s="2"/>
      <c r="H1" s="2"/>
    </row>
    <row r="3" spans="1:8" ht="22" x14ac:dyDescent="0.85">
      <c r="A3" s="3"/>
      <c r="B3" s="10" t="s">
        <v>11</v>
      </c>
      <c r="C3" s="10" t="s">
        <v>12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18</v>
      </c>
    </row>
    <row r="4" spans="1:8" ht="22" x14ac:dyDescent="0.85">
      <c r="A4" s="25" t="s">
        <v>1</v>
      </c>
      <c r="B4" s="26">
        <f>SUM('Segundo año'!$C$6:$C$7)</f>
        <v>1300</v>
      </c>
      <c r="C4" s="26">
        <f>SUM('Segundo año'!$C$8:$C$9)</f>
        <v>1500</v>
      </c>
      <c r="D4" s="27">
        <v>0</v>
      </c>
      <c r="E4" s="27">
        <v>0</v>
      </c>
      <c r="F4" s="27">
        <v>0</v>
      </c>
      <c r="G4" s="27">
        <v>0</v>
      </c>
      <c r="H4" s="31">
        <f>SUM(B4:G4)</f>
        <v>2800</v>
      </c>
    </row>
    <row r="5" spans="1:8" ht="22" x14ac:dyDescent="0.85">
      <c r="A5" s="28" t="s">
        <v>3</v>
      </c>
      <c r="B5" s="29">
        <f>SUM('Segundo año'!$G$6:$G$8)</f>
        <v>600</v>
      </c>
      <c r="C5" s="29">
        <f>SUM('Segundo año'!$G$9:$G$10)</f>
        <v>400</v>
      </c>
      <c r="D5" s="27">
        <v>0</v>
      </c>
      <c r="E5" s="27">
        <v>0</v>
      </c>
      <c r="F5" s="27">
        <v>0</v>
      </c>
      <c r="G5" s="27">
        <v>0</v>
      </c>
      <c r="H5" s="31">
        <f>SUM(B5:G5)</f>
        <v>1000</v>
      </c>
    </row>
    <row r="6" spans="1:8" ht="22" x14ac:dyDescent="0.85">
      <c r="A6" s="24" t="s">
        <v>19</v>
      </c>
      <c r="B6" s="23">
        <f>SUM(B4-B5)</f>
        <v>700</v>
      </c>
      <c r="C6" s="23">
        <f t="shared" ref="C6:H6" si="0">SUM(C4-C5)</f>
        <v>1100</v>
      </c>
      <c r="D6" s="27">
        <v>0</v>
      </c>
      <c r="E6" s="27">
        <v>0</v>
      </c>
      <c r="F6" s="27">
        <v>0</v>
      </c>
      <c r="G6" s="27">
        <v>0</v>
      </c>
      <c r="H6" s="23">
        <f t="shared" si="0"/>
        <v>1800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C56F-AD21-4A4D-8D15-B81F8D80334F}">
  <dimension ref="A1:H5"/>
  <sheetViews>
    <sheetView tabSelected="1" workbookViewId="0">
      <selection activeCell="F7" sqref="F7"/>
    </sheetView>
  </sheetViews>
  <sheetFormatPr baseColWidth="10" defaultRowHeight="14.5" x14ac:dyDescent="0.35"/>
  <cols>
    <col min="2" max="2" width="11.81640625" bestFit="1" customWidth="1"/>
    <col min="5" max="5" width="11.81640625" bestFit="1" customWidth="1"/>
    <col min="8" max="8" width="11.81640625" bestFit="1" customWidth="1"/>
  </cols>
  <sheetData>
    <row r="1" spans="1:8" ht="33.5" x14ac:dyDescent="1.3">
      <c r="A1" s="2" t="s">
        <v>31</v>
      </c>
      <c r="B1" s="2"/>
      <c r="C1" s="2"/>
      <c r="D1" s="2"/>
      <c r="E1" s="2"/>
      <c r="F1" s="2"/>
      <c r="G1" s="2"/>
      <c r="H1" s="2"/>
    </row>
    <row r="3" spans="1:8" ht="20.5" customHeight="1" x14ac:dyDescent="0.85">
      <c r="A3" s="32" t="s">
        <v>32</v>
      </c>
      <c r="B3" s="33">
        <f>SUM('Reporte Mensual Primer año'!$H$4+'Reporte Mensual Segundo año'!$H$4)</f>
        <v>5550</v>
      </c>
      <c r="C3" s="3"/>
      <c r="D3" s="32" t="s">
        <v>33</v>
      </c>
      <c r="E3" s="33">
        <f>SUM('Reporte Mensual Primer año'!$H$5+'Reporte Mensual Segundo año'!$H$5)</f>
        <v>1800</v>
      </c>
      <c r="F3" s="3"/>
      <c r="G3" s="32" t="s">
        <v>34</v>
      </c>
      <c r="H3" s="33">
        <f>SUM('Reporte Mensual Primer año'!$H$6+'Reporte Mensual Segundo año'!$H$6)</f>
        <v>3750</v>
      </c>
    </row>
    <row r="4" spans="1:8" ht="22.5" thickBot="1" x14ac:dyDescent="0.9">
      <c r="A4" s="34"/>
      <c r="B4" s="35"/>
      <c r="C4" s="3"/>
      <c r="D4" s="36"/>
      <c r="E4" s="35"/>
      <c r="F4" s="3"/>
      <c r="G4" s="36"/>
      <c r="H4" s="35"/>
    </row>
    <row r="5" spans="1:8" ht="15" thickTop="1" x14ac:dyDescent="0.35"/>
  </sheetData>
  <mergeCells count="7">
    <mergeCell ref="A1:H1"/>
    <mergeCell ref="A3:A4"/>
    <mergeCell ref="B3:B4"/>
    <mergeCell ref="D3:D4"/>
    <mergeCell ref="G3:G4"/>
    <mergeCell ref="E3:E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Primer año</vt:lpstr>
      <vt:lpstr>Reporte Mensual Primer año</vt:lpstr>
      <vt:lpstr>Segundo año</vt:lpstr>
      <vt:lpstr>Reporte Mensual Segundo año</vt:lpstr>
      <vt:lpstr>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Pereson</dc:creator>
  <cp:lastModifiedBy>Mariano Pereson</cp:lastModifiedBy>
  <dcterms:created xsi:type="dcterms:W3CDTF">2026-05-21T13:45:44Z</dcterms:created>
  <dcterms:modified xsi:type="dcterms:W3CDTF">2026-05-21T14:50:59Z</dcterms:modified>
</cp:coreProperties>
</file>